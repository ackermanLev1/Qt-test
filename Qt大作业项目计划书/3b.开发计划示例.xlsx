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filterPrivacy="1"/>
  <xr:revisionPtr revIDLastSave="0" documentId="13_ncr:1_{C5CEA704-44A3-4687-A932-1DBBF5214091}" xr6:coauthVersionLast="47" xr6:coauthVersionMax="47" xr10:uidLastSave="{00000000-0000-0000-0000-000000000000}"/>
  <bookViews>
    <workbookView xWindow="4248" yWindow="2460" windowWidth="24168" windowHeight="13308" xr2:uid="{00000000-000D-0000-FFFF-FFFF00000000}"/>
  </bookViews>
  <sheets>
    <sheet name="Gantt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2" l="1"/>
  <c r="F14" i="2"/>
  <c r="F6" i="2"/>
  <c r="F5" i="2"/>
  <c r="F7" i="2"/>
  <c r="F15" i="2"/>
  <c r="F16" i="2"/>
  <c r="F11" i="2"/>
  <c r="F8" i="2"/>
  <c r="F9" i="2"/>
  <c r="F10" i="2"/>
  <c r="F12" i="2"/>
</calcChain>
</file>

<file path=xl/sharedStrings.xml><?xml version="1.0" encoding="utf-8"?>
<sst xmlns="http://schemas.openxmlformats.org/spreadsheetml/2006/main" count="36" uniqueCount="36">
  <si>
    <t>预计天数</t>
    <phoneticPr fontId="4" type="noConversion"/>
  </si>
  <si>
    <t>开始日期</t>
    <phoneticPr fontId="4" type="noConversion"/>
  </si>
  <si>
    <t>完成日期</t>
    <phoneticPr fontId="4" type="noConversion"/>
  </si>
  <si>
    <t>任务序号</t>
    <phoneticPr fontId="4" type="noConversion"/>
  </si>
  <si>
    <t>任务描述</t>
    <phoneticPr fontId="4" type="noConversion"/>
  </si>
  <si>
    <t>阶段</t>
    <phoneticPr fontId="4" type="noConversion"/>
  </si>
  <si>
    <t>task1.1</t>
    <phoneticPr fontId="4" type="noConversion"/>
  </si>
  <si>
    <t>task2.1</t>
    <phoneticPr fontId="4" type="noConversion"/>
  </si>
  <si>
    <t>task2.2</t>
    <phoneticPr fontId="4" type="noConversion"/>
  </si>
  <si>
    <t>task3.1</t>
    <phoneticPr fontId="4" type="noConversion"/>
  </si>
  <si>
    <t>task3.2</t>
    <phoneticPr fontId="4" type="noConversion"/>
  </si>
  <si>
    <t>task3.3</t>
    <phoneticPr fontId="4" type="noConversion"/>
  </si>
  <si>
    <t>搭建交叉编译环境，搭建私有软件仓库</t>
  </si>
  <si>
    <t>task1.3</t>
    <phoneticPr fontId="4" type="noConversion"/>
  </si>
  <si>
    <t>task1.2</t>
    <phoneticPr fontId="4" type="noConversion"/>
  </si>
  <si>
    <t>参照“呼吸家”系统，确定软件系统基本框架及具体功能，收集所需要的资料</t>
    <phoneticPr fontId="4" type="noConversion"/>
  </si>
  <si>
    <t>与硬件厂商沟通，获取必须硬件设备，搭建开发环境</t>
    <phoneticPr fontId="4" type="noConversion"/>
  </si>
  <si>
    <t>UI界面设计</t>
    <phoneticPr fontId="4" type="noConversion"/>
  </si>
  <si>
    <t>数据库管理功能，测试数据存取框架</t>
    <phoneticPr fontId="4" type="noConversion"/>
  </si>
  <si>
    <t>task4.1</t>
    <phoneticPr fontId="4" type="noConversion"/>
  </si>
  <si>
    <t>task5.1</t>
    <phoneticPr fontId="4" type="noConversion"/>
  </si>
  <si>
    <t>task5.2</t>
    <phoneticPr fontId="4" type="noConversion"/>
  </si>
  <si>
    <t>1.调研及研发准备（2周）</t>
    <phoneticPr fontId="4" type="noConversion"/>
  </si>
  <si>
    <t>2.UI-界面及数据管理功能开发（6周）</t>
    <phoneticPr fontId="4" type="noConversion"/>
  </si>
  <si>
    <t>3. 传感器数据获取及各类相关测试功能（8周）</t>
    <phoneticPr fontId="4" type="noConversion"/>
  </si>
  <si>
    <t>4. 无线通讯硬件设置与管理（3周）</t>
    <phoneticPr fontId="4" type="noConversion"/>
  </si>
  <si>
    <t>task4.2</t>
    <phoneticPr fontId="4" type="noConversion"/>
  </si>
  <si>
    <t>各类报表输出功能</t>
    <phoneticPr fontId="4" type="noConversion"/>
  </si>
  <si>
    <t>其他硬件相关管理与设置</t>
    <phoneticPr fontId="4" type="noConversion"/>
  </si>
  <si>
    <t>下位机通讯功能，从肺功能呼吸手柄（USB串口），CO2（串口）及血氧仪（串口）获取实时数据</t>
    <phoneticPr fontId="4" type="noConversion"/>
  </si>
  <si>
    <t>用户反馈与bug修正</t>
    <phoneticPr fontId="4" type="noConversion"/>
  </si>
  <si>
    <t>程序打包，界面优化</t>
    <phoneticPr fontId="4" type="noConversion"/>
  </si>
  <si>
    <t>各类测试人机交互接口，按照各类医学规范，计算测试中的各项指标值，并展示</t>
    <phoneticPr fontId="4" type="noConversion"/>
  </si>
  <si>
    <t>5.后期优化及测试（3周）</t>
    <phoneticPr fontId="4" type="noConversion"/>
  </si>
  <si>
    <r>
      <t>W</t>
    </r>
    <r>
      <rPr>
        <sz val="12"/>
        <color rgb="FF333333"/>
        <rFont val="宋体"/>
        <family val="3"/>
        <charset val="134"/>
        <scheme val="minor"/>
      </rPr>
      <t>ifi、4G网络、蓝牙设备设置与管理</t>
    </r>
    <phoneticPr fontId="4" type="noConversion"/>
  </si>
  <si>
    <t>《xxx控制软件》开发计划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</si>
</sst>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1" x14ac:knownFonts="1">
    <font>
      <sz val="11"/>
      <color theme="1"/>
      <name val="宋体"/>
      <family val="2"/>
      <scheme val="minor"/>
    </font>
    <font>
      <sz val="10"/>
      <color theme="1"/>
      <name val="Century Gothic"/>
      <family val="2"/>
    </font>
    <font>
      <sz val="16"/>
      <color theme="0"/>
      <name val="Century Gothic"/>
      <family val="2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sz val="16"/>
      <color theme="0"/>
      <name val="宋体"/>
      <family val="3"/>
      <charset val="134"/>
      <scheme val="minor"/>
    </font>
    <font>
      <sz val="12"/>
      <color rgb="FF333333"/>
      <name val="等线"/>
      <family val="3"/>
      <charset val="134"/>
    </font>
    <font>
      <sz val="12"/>
      <color rgb="FF333333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77777"/>
        <bgColor indexed="64"/>
      </patternFill>
    </fill>
    <fill>
      <patternFill patternType="solid">
        <fgColor theme="2" tint="-0.749961851863155"/>
        <bgColor indexed="64"/>
      </patternFill>
    </fill>
    <fill>
      <patternFill patternType="solid">
        <fgColor theme="6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1" fillId="4" borderId="0" xfId="0" applyFont="1" applyFill="1"/>
    <xf numFmtId="0" fontId="0" fillId="4" borderId="0" xfId="0" applyFill="1"/>
    <xf numFmtId="0" fontId="3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4" borderId="0" xfId="0" applyFill="1" applyAlignment="1">
      <alignment vertical="center"/>
    </xf>
    <xf numFmtId="0" fontId="5" fillId="6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left" vertical="center" wrapText="1" readingOrder="1"/>
    </xf>
    <xf numFmtId="0" fontId="7" fillId="3" borderId="1" xfId="0" applyFont="1" applyFill="1" applyBorder="1" applyAlignment="1">
      <alignment horizontal="center" vertical="center" wrapText="1" readingOrder="1"/>
    </xf>
    <xf numFmtId="0" fontId="7" fillId="3" borderId="1" xfId="0" applyFont="1" applyFill="1" applyBorder="1" applyAlignment="1">
      <alignment horizontal="left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vertical="center"/>
    </xf>
    <xf numFmtId="176" fontId="7" fillId="2" borderId="1" xfId="0" applyNumberFormat="1" applyFont="1" applyFill="1" applyBorder="1" applyAlignment="1">
      <alignment horizontal="left" vertical="center" wrapText="1" readingOrder="1"/>
    </xf>
    <xf numFmtId="176" fontId="7" fillId="3" borderId="1" xfId="0" applyNumberFormat="1" applyFont="1" applyFill="1" applyBorder="1" applyAlignment="1">
      <alignment horizontal="left" vertical="center" wrapText="1" readingOrder="1"/>
    </xf>
    <xf numFmtId="0" fontId="6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/>
    <xf numFmtId="0" fontId="9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 wrapText="1" readingOrder="1"/>
    </xf>
    <xf numFmtId="0" fontId="2" fillId="5" borderId="0" xfId="0" applyFont="1" applyFill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0966D"/>
      <color rgb="FF52B161"/>
      <color rgb="FF4F6228"/>
      <color rgb="FFA03912"/>
      <color rgb="FFD24626"/>
      <color rgb="FF777777"/>
      <color rgb="FFD24726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8201555667267517E-2"/>
          <c:y val="7.1694199238077086E-2"/>
          <c:w val="0.92230722932277953"/>
          <c:h val="0.9268573103029578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Gantt!$C$4</c:f>
              <c:strCache>
                <c:ptCount val="1"/>
                <c:pt idx="0">
                  <c:v>开始日期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Gantt!$B$5:$B$16</c:f>
              <c:strCache>
                <c:ptCount val="12"/>
                <c:pt idx="0">
                  <c:v>task1.1</c:v>
                </c:pt>
                <c:pt idx="1">
                  <c:v>task1.2</c:v>
                </c:pt>
                <c:pt idx="2">
                  <c:v>task1.3</c:v>
                </c:pt>
                <c:pt idx="3">
                  <c:v>task2.1</c:v>
                </c:pt>
                <c:pt idx="4">
                  <c:v>task2.2</c:v>
                </c:pt>
                <c:pt idx="5">
                  <c:v>task3.1</c:v>
                </c:pt>
                <c:pt idx="6">
                  <c:v>task3.2</c:v>
                </c:pt>
                <c:pt idx="7">
                  <c:v>task3.3</c:v>
                </c:pt>
                <c:pt idx="8">
                  <c:v>task4.1</c:v>
                </c:pt>
                <c:pt idx="9">
                  <c:v>task4.2</c:v>
                </c:pt>
                <c:pt idx="10">
                  <c:v>task5.1</c:v>
                </c:pt>
                <c:pt idx="11">
                  <c:v>task5.2</c:v>
                </c:pt>
              </c:strCache>
            </c:strRef>
          </c:cat>
          <c:val>
            <c:numRef>
              <c:f>Gantt!$C$5:$C$16</c:f>
              <c:numCache>
                <c:formatCode>yyyy/m/d;@</c:formatCode>
                <c:ptCount val="12"/>
                <c:pt idx="0">
                  <c:v>44479</c:v>
                </c:pt>
                <c:pt idx="1">
                  <c:v>44486</c:v>
                </c:pt>
                <c:pt idx="2">
                  <c:v>44487</c:v>
                </c:pt>
                <c:pt idx="3">
                  <c:v>44493</c:v>
                </c:pt>
                <c:pt idx="4">
                  <c:v>44514</c:v>
                </c:pt>
                <c:pt idx="5">
                  <c:v>44535</c:v>
                </c:pt>
                <c:pt idx="6">
                  <c:v>44556</c:v>
                </c:pt>
                <c:pt idx="7">
                  <c:v>44583</c:v>
                </c:pt>
                <c:pt idx="8">
                  <c:v>44590</c:v>
                </c:pt>
                <c:pt idx="9">
                  <c:v>44604</c:v>
                </c:pt>
                <c:pt idx="10">
                  <c:v>44611</c:v>
                </c:pt>
                <c:pt idx="11">
                  <c:v>44622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6-45E0-8E28-DC378AA8B665}"/>
            </c:ext>
          </c:extLst>
        </c:ser>
        <c:ser>
          <c:idx val="1"/>
          <c:order val="1"/>
          <c:tx>
            <c:strRef>
              <c:f>Gantt!$F$4:$F$4</c:f>
              <c:strCache>
                <c:ptCount val="1"/>
                <c:pt idx="0">
                  <c:v>预计天数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26CF-E441-9AF8-149E81FE674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6CF-E441-9AF8-149E81FE6745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6CF-E441-9AF8-149E81FE6745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6CF-E441-9AF8-149E81FE6745}"/>
              </c:ext>
            </c:extLst>
          </c:dPt>
          <c:dPt>
            <c:idx val="5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6CF-E441-9AF8-149E81FE6745}"/>
              </c:ext>
            </c:extLst>
          </c:dPt>
          <c:dPt>
            <c:idx val="6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6CF-E441-9AF8-149E81FE6745}"/>
              </c:ext>
            </c:extLst>
          </c:dPt>
          <c:dPt>
            <c:idx val="7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6CF-E441-9AF8-149E81FE6745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C5EB-4BE2-89D5-EC51AC4F3076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9EF-476A-BC51-79C8EC19E062}"/>
              </c:ext>
            </c:extLst>
          </c:dPt>
          <c:cat>
            <c:strRef>
              <c:f>Gantt!$B$5:$B$16</c:f>
              <c:strCache>
                <c:ptCount val="12"/>
                <c:pt idx="0">
                  <c:v>task1.1</c:v>
                </c:pt>
                <c:pt idx="1">
                  <c:v>task1.2</c:v>
                </c:pt>
                <c:pt idx="2">
                  <c:v>task1.3</c:v>
                </c:pt>
                <c:pt idx="3">
                  <c:v>task2.1</c:v>
                </c:pt>
                <c:pt idx="4">
                  <c:v>task2.2</c:v>
                </c:pt>
                <c:pt idx="5">
                  <c:v>task3.1</c:v>
                </c:pt>
                <c:pt idx="6">
                  <c:v>task3.2</c:v>
                </c:pt>
                <c:pt idx="7">
                  <c:v>task3.3</c:v>
                </c:pt>
                <c:pt idx="8">
                  <c:v>task4.1</c:v>
                </c:pt>
                <c:pt idx="9">
                  <c:v>task4.2</c:v>
                </c:pt>
                <c:pt idx="10">
                  <c:v>task5.1</c:v>
                </c:pt>
                <c:pt idx="11">
                  <c:v>task5.2</c:v>
                </c:pt>
              </c:strCache>
            </c:strRef>
          </c:cat>
          <c:val>
            <c:numRef>
              <c:f>Gantt!$F$5:$F$16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20</c:v>
                </c:pt>
                <c:pt idx="4">
                  <c:v>21</c:v>
                </c:pt>
                <c:pt idx="5">
                  <c:v>21</c:v>
                </c:pt>
                <c:pt idx="6">
                  <c:v>26</c:v>
                </c:pt>
                <c:pt idx="7">
                  <c:v>7</c:v>
                </c:pt>
                <c:pt idx="8">
                  <c:v>13</c:v>
                </c:pt>
                <c:pt idx="9">
                  <c:v>7</c:v>
                </c:pt>
                <c:pt idx="10">
                  <c:v>13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86-45E0-8E28-DC378AA8B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0255136"/>
        <c:axId val="750256816"/>
      </c:barChart>
      <c:catAx>
        <c:axId val="7502551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0256816"/>
        <c:crosses val="autoZero"/>
        <c:auto val="1"/>
        <c:lblAlgn val="ctr"/>
        <c:lblOffset val="100"/>
        <c:noMultiLvlLbl val="0"/>
      </c:catAx>
      <c:valAx>
        <c:axId val="750256816"/>
        <c:scaling>
          <c:orientation val="minMax"/>
          <c:max val="44640"/>
          <c:min val="44478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025513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</xdr:colOff>
      <xdr:row>2</xdr:row>
      <xdr:rowOff>186063</xdr:rowOff>
    </xdr:from>
    <xdr:to>
      <xdr:col>22</xdr:col>
      <xdr:colOff>107244</xdr:colOff>
      <xdr:row>15</xdr:row>
      <xdr:rowOff>589643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fitToPage="1"/>
  </sheetPr>
  <dimension ref="A1:S16"/>
  <sheetViews>
    <sheetView tabSelected="1" zoomScale="70" zoomScaleNormal="70" workbookViewId="0">
      <selection activeCell="E13" sqref="E13"/>
    </sheetView>
  </sheetViews>
  <sheetFormatPr defaultColWidth="10.109375" defaultRowHeight="14.4" x14ac:dyDescent="0.25"/>
  <cols>
    <col min="1" max="1" width="11.33203125" style="6" customWidth="1"/>
    <col min="2" max="2" width="9.44140625" style="3" customWidth="1"/>
    <col min="3" max="4" width="13" style="3" bestFit="1" customWidth="1"/>
    <col min="5" max="5" width="46.6640625" style="3" customWidth="1"/>
    <col min="6" max="6" width="18.33203125" style="3" customWidth="1"/>
    <col min="7" max="7" width="10.109375" style="3"/>
    <col min="8" max="8" width="16.77734375" style="3" customWidth="1"/>
    <col min="9" max="9" width="3.77734375" style="3" customWidth="1"/>
    <col min="10" max="10" width="13" style="3" hidden="1" customWidth="1"/>
    <col min="11" max="11" width="9.6640625" style="3" customWidth="1"/>
    <col min="12" max="13" width="10.109375" style="3"/>
    <col min="14" max="14" width="20.33203125" style="3" customWidth="1"/>
    <col min="15" max="15" width="10.109375" style="3"/>
    <col min="16" max="16" width="14.44140625" style="3" customWidth="1"/>
    <col min="17" max="17" width="25.6640625" style="3" customWidth="1"/>
    <col min="18" max="18" width="10.33203125" style="3" customWidth="1"/>
    <col min="19" max="19" width="8.77734375" style="3" customWidth="1"/>
    <col min="20" max="16384" width="10.109375" style="3"/>
  </cols>
  <sheetData>
    <row r="1" spans="1:19" s="2" customFormat="1" ht="9.75" customHeight="1" x14ac:dyDescent="0.25">
      <c r="A1" s="21" t="s">
        <v>35</v>
      </c>
      <c r="B1" s="22"/>
      <c r="C1" s="22"/>
      <c r="D1" s="22"/>
      <c r="E1" s="22"/>
      <c r="F1" s="22"/>
    </row>
    <row r="2" spans="1:19" ht="8.25" customHeight="1" x14ac:dyDescent="0.25">
      <c r="A2" s="22"/>
      <c r="B2" s="22"/>
      <c r="C2" s="22"/>
      <c r="D2" s="22"/>
      <c r="E2" s="22"/>
      <c r="F2" s="22"/>
    </row>
    <row r="3" spans="1:19" ht="25.5" customHeight="1" x14ac:dyDescent="0.25">
      <c r="A3" s="22"/>
      <c r="B3" s="22"/>
      <c r="C3" s="22"/>
      <c r="D3" s="22"/>
      <c r="E3" s="22"/>
      <c r="F3" s="2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s="4" customFormat="1" ht="27.75" customHeight="1" x14ac:dyDescent="0.25">
      <c r="A4" s="7" t="s">
        <v>5</v>
      </c>
      <c r="B4" s="7" t="s">
        <v>3</v>
      </c>
      <c r="C4" s="7" t="s">
        <v>1</v>
      </c>
      <c r="D4" s="7" t="s">
        <v>2</v>
      </c>
      <c r="E4" s="7" t="s">
        <v>4</v>
      </c>
      <c r="F4" s="7" t="s">
        <v>0</v>
      </c>
      <c r="G4" s="1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ht="48" customHeight="1" x14ac:dyDescent="0.25">
      <c r="A5" s="19" t="s">
        <v>22</v>
      </c>
      <c r="B5" s="8" t="s">
        <v>6</v>
      </c>
      <c r="C5" s="13">
        <v>44479</v>
      </c>
      <c r="D5" s="13">
        <v>44486</v>
      </c>
      <c r="E5" s="15" t="s">
        <v>15</v>
      </c>
      <c r="F5" s="11">
        <f>DAYS360(C5,D5,FALSE)</f>
        <v>7</v>
      </c>
      <c r="G5" s="1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48" customHeight="1" x14ac:dyDescent="0.25">
      <c r="A6" s="19"/>
      <c r="B6" s="8" t="s">
        <v>14</v>
      </c>
      <c r="C6" s="13">
        <v>44486</v>
      </c>
      <c r="D6" s="13">
        <v>44493</v>
      </c>
      <c r="E6" s="15" t="s">
        <v>16</v>
      </c>
      <c r="F6" s="11">
        <f>DAYS360(C6,D6,FALSE)</f>
        <v>7</v>
      </c>
      <c r="G6" s="1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48" customHeight="1" x14ac:dyDescent="0.25">
      <c r="A7" s="19"/>
      <c r="B7" s="8" t="s">
        <v>13</v>
      </c>
      <c r="C7" s="13">
        <v>44487</v>
      </c>
      <c r="D7" s="13">
        <v>44493</v>
      </c>
      <c r="E7" s="15" t="s">
        <v>12</v>
      </c>
      <c r="F7" s="11">
        <f>DAYS360(C7,D7,FALSE)</f>
        <v>6</v>
      </c>
      <c r="G7" s="1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48" customHeight="1" x14ac:dyDescent="0.25">
      <c r="A8" s="20" t="s">
        <v>23</v>
      </c>
      <c r="B8" s="10" t="s">
        <v>7</v>
      </c>
      <c r="C8" s="14">
        <v>44493</v>
      </c>
      <c r="D8" s="14">
        <v>44514</v>
      </c>
      <c r="E8" s="10" t="s">
        <v>17</v>
      </c>
      <c r="F8" s="9">
        <f t="shared" ref="F8:F11" si="0">DAYS360(C8,D8,FALSE)</f>
        <v>20</v>
      </c>
      <c r="G8" s="1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48" customHeight="1" x14ac:dyDescent="0.25">
      <c r="A9" s="20"/>
      <c r="B9" s="10" t="s">
        <v>8</v>
      </c>
      <c r="C9" s="14">
        <v>44514</v>
      </c>
      <c r="D9" s="14">
        <v>44535</v>
      </c>
      <c r="E9" s="10" t="s">
        <v>18</v>
      </c>
      <c r="F9" s="9">
        <f t="shared" si="0"/>
        <v>21</v>
      </c>
      <c r="G9" s="1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48" customHeight="1" x14ac:dyDescent="0.25">
      <c r="A10" s="19" t="s">
        <v>24</v>
      </c>
      <c r="B10" s="8" t="s">
        <v>9</v>
      </c>
      <c r="C10" s="13">
        <v>44535</v>
      </c>
      <c r="D10" s="13">
        <v>44556</v>
      </c>
      <c r="E10" s="8" t="s">
        <v>29</v>
      </c>
      <c r="F10" s="11">
        <f t="shared" si="0"/>
        <v>21</v>
      </c>
      <c r="G10" s="1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48" customHeight="1" x14ac:dyDescent="0.25">
      <c r="A11" s="19"/>
      <c r="B11" s="8" t="s">
        <v>10</v>
      </c>
      <c r="C11" s="13">
        <v>44556</v>
      </c>
      <c r="D11" s="13">
        <v>44583</v>
      </c>
      <c r="E11" s="8" t="s">
        <v>32</v>
      </c>
      <c r="F11" s="11">
        <f t="shared" si="0"/>
        <v>26</v>
      </c>
      <c r="G11" s="1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48" customHeight="1" x14ac:dyDescent="0.25">
      <c r="A12" s="19"/>
      <c r="B12" s="8" t="s">
        <v>11</v>
      </c>
      <c r="C12" s="13">
        <v>44583</v>
      </c>
      <c r="D12" s="13">
        <v>44590</v>
      </c>
      <c r="E12" s="8" t="s">
        <v>27</v>
      </c>
      <c r="F12" s="11">
        <f>DAYS360(C12,D12,FALSE)</f>
        <v>7</v>
      </c>
      <c r="G12" s="1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48" customHeight="1" x14ac:dyDescent="0.25">
      <c r="A13" s="20" t="s">
        <v>25</v>
      </c>
      <c r="B13" s="10" t="s">
        <v>19</v>
      </c>
      <c r="C13" s="14">
        <v>44590</v>
      </c>
      <c r="D13" s="14">
        <v>44604</v>
      </c>
      <c r="E13" s="18" t="s">
        <v>34</v>
      </c>
      <c r="F13" s="9">
        <f t="shared" ref="F13:F14" si="1">DAYS360(C13,D13,FALSE)</f>
        <v>13</v>
      </c>
      <c r="G13" s="1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48" customHeight="1" x14ac:dyDescent="0.25">
      <c r="A14" s="20"/>
      <c r="B14" s="10" t="s">
        <v>26</v>
      </c>
      <c r="C14" s="14">
        <v>44604</v>
      </c>
      <c r="D14" s="14">
        <v>44611</v>
      </c>
      <c r="E14" s="10" t="s">
        <v>28</v>
      </c>
      <c r="F14" s="9">
        <f t="shared" si="1"/>
        <v>7</v>
      </c>
      <c r="G14" s="1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48" customHeight="1" x14ac:dyDescent="0.25">
      <c r="A15" s="19" t="s">
        <v>33</v>
      </c>
      <c r="B15" s="8" t="s">
        <v>20</v>
      </c>
      <c r="C15" s="13">
        <v>44611</v>
      </c>
      <c r="D15" s="13">
        <v>44622</v>
      </c>
      <c r="E15" s="8" t="s">
        <v>31</v>
      </c>
      <c r="F15" s="11">
        <f t="shared" ref="F15:F16" si="2">DAYS360(C15,D15,FALSE)</f>
        <v>13</v>
      </c>
      <c r="G15" s="1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48" customHeight="1" x14ac:dyDescent="0.25">
      <c r="A16" s="19"/>
      <c r="B16" s="12" t="s">
        <v>21</v>
      </c>
      <c r="C16" s="13">
        <v>44622</v>
      </c>
      <c r="D16" s="13">
        <v>44631</v>
      </c>
      <c r="E16" s="12" t="s">
        <v>30</v>
      </c>
      <c r="F16" s="11">
        <f t="shared" si="2"/>
        <v>9</v>
      </c>
      <c r="G16" s="1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</sheetData>
  <mergeCells count="6">
    <mergeCell ref="A5:A7"/>
    <mergeCell ref="A8:A9"/>
    <mergeCell ref="A1:F3"/>
    <mergeCell ref="A10:A12"/>
    <mergeCell ref="A15:A16"/>
    <mergeCell ref="A13:A14"/>
  </mergeCells>
  <phoneticPr fontId="4" type="noConversion"/>
  <pageMargins left="0.7" right="0.7" top="0.75" bottom="0.75" header="0.3" footer="0.3"/>
  <pageSetup scale="41" orientation="landscape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2014-09-20T00:50:53Z</dcterms:created>
  <dcterms:modified xsi:type="dcterms:W3CDTF">2021-11-21T03:04:13Z</dcterms:modified>
</cp:coreProperties>
</file>